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0F90489-45DC-4A35-AE84-7C715317666E}" xr6:coauthVersionLast="47" xr6:coauthVersionMax="47" xr10:uidLastSave="{00000000-0000-0000-0000-000000000000}"/>
  <bookViews>
    <workbookView xWindow="-110" yWindow="-110" windowWidth="19420" windowHeight="10300" xr2:uid="{D6E15A03-7C97-4AD3-B2C3-AD7E4CF64852}"/>
  </bookViews>
  <sheets>
    <sheet name="DPIA_Form" sheetId="1" r:id="rId1"/>
    <sheet name="Risk_Register" sheetId="2" r:id="rId2"/>
    <sheet name="Guidance_Notes" sheetId="3" r:id="rId3"/>
    <sheet name="Version_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</calcChain>
</file>

<file path=xl/sharedStrings.xml><?xml version="1.0" encoding="utf-8"?>
<sst xmlns="http://schemas.openxmlformats.org/spreadsheetml/2006/main" count="265" uniqueCount="206">
  <si>
    <t>Field</t>
  </si>
  <si>
    <t>Description / Function</t>
  </si>
  <si>
    <t>Example</t>
  </si>
  <si>
    <t>Company Name</t>
  </si>
  <si>
    <t>Name of the SME conducting the DPIA</t>
  </si>
  <si>
    <t>AIDA Retail Solutions Ltd.</t>
  </si>
  <si>
    <t>Effective Date</t>
  </si>
  <si>
    <t>Date the DPIA becomes valid</t>
  </si>
  <si>
    <t>Version</t>
  </si>
  <si>
    <t>Document version number</t>
  </si>
  <si>
    <t>DPIA Lead</t>
  </si>
  <si>
    <t>Person responsible for leading the DPIA</t>
  </si>
  <si>
    <t>Mary Wambui, Compliance Manager</t>
  </si>
  <si>
    <t>Contact</t>
  </si>
  <si>
    <t>Email and phone of the DPIA Lead</t>
  </si>
  <si>
    <t>mary@aidasolutions.co.ke / +254-700-123456</t>
  </si>
  <si>
    <t>Description</t>
  </si>
  <si>
    <t>Project / Processing Activity Name</t>
  </si>
  <si>
    <t>Customer Support AI Chatbot</t>
  </si>
  <si>
    <t>Date DPIA Conducted</t>
  </si>
  <si>
    <t>Description of Processing</t>
  </si>
  <si>
    <t>Purpose(s) of Processing</t>
  </si>
  <si>
    <t>Data Categories</t>
  </si>
  <si>
    <t>Data Subjects</t>
  </si>
  <si>
    <t>Legal Basis for Processing</t>
  </si>
  <si>
    <t>Question</t>
  </si>
  <si>
    <t>Explanation</t>
  </si>
  <si>
    <t>Is the processing necessary to achieve the stated purpose?</t>
  </si>
  <si>
    <t>Yes</t>
  </si>
  <si>
    <t>Automation required for 24/7 customer service</t>
  </si>
  <si>
    <t>Have you considered alternatives that minimize data use?</t>
  </si>
  <si>
    <t>Manual handling considered but not feasible at scale</t>
  </si>
  <si>
    <t>Does the processing respect data minimization principles?</t>
  </si>
  <si>
    <t>Only contact data and order-related info collected</t>
  </si>
  <si>
    <t>Top 3 Identified Risks</t>
  </si>
  <si>
    <t>Brief summary of key risks</t>
  </si>
  <si>
    <t>Unauthorized access, AI bias, inaccurate automated decisions</t>
  </si>
  <si>
    <r>
      <t xml:space="preserve">Highest Risk Level Identified </t>
    </r>
    <r>
      <rPr>
        <i/>
        <sz val="12"/>
        <color theme="1"/>
        <rFont val="Calibri"/>
        <family val="2"/>
        <scheme val="minor"/>
      </rPr>
      <t>(Auto from Risk_Register)</t>
    </r>
  </si>
  <si>
    <t>Low / Medium / High</t>
  </si>
  <si>
    <t>Reference to Risk_Register</t>
  </si>
  <si>
    <t>Cross-reference row numbers</t>
  </si>
  <si>
    <t>See Risk_Register Rows 2–6</t>
  </si>
  <si>
    <t>Section 3: Risk Assessment Overview</t>
  </si>
  <si>
    <t>Section 2: Necessity and Proportionality</t>
  </si>
  <si>
    <t>Section 4: Consultation Process</t>
  </si>
  <si>
    <t>Stakeholder</t>
  </si>
  <si>
    <t>Method of Consultation</t>
  </si>
  <si>
    <t>Summary of Feedback</t>
  </si>
  <si>
    <t>Internal Teams (IT, Legal, Compliance)</t>
  </si>
  <si>
    <t>Meetings, email review</t>
  </si>
  <si>
    <t>Recommended encryption and user consent review</t>
  </si>
  <si>
    <t>Data Subjects (Customers/Users)</t>
  </si>
  <si>
    <t>Online feedback form</t>
  </si>
  <si>
    <t>Concerned about AI understanding context and privacy</t>
  </si>
  <si>
    <t>External Experts / Consultants</t>
  </si>
  <si>
    <t>Advisory report</t>
  </si>
  <si>
    <t>Suggested bias testing and human review for escalated cases</t>
  </si>
  <si>
    <t>Section 5: Measures to Address Risks and Ensure Compliance</t>
  </si>
  <si>
    <t>Risk / Issue</t>
  </si>
  <si>
    <t>Mitigation Measure</t>
  </si>
  <si>
    <t>Responsible Person</t>
  </si>
  <si>
    <t>Deadline</t>
  </si>
  <si>
    <t>Unauthorized access</t>
  </si>
  <si>
    <t>Implement role-based access and MFA</t>
  </si>
  <si>
    <t>IT Manager</t>
  </si>
  <si>
    <t>Open</t>
  </si>
  <si>
    <t>Data breach</t>
  </si>
  <si>
    <t>Incident response plan and security audit</t>
  </si>
  <si>
    <t>Compliance Officer</t>
  </si>
  <si>
    <t>Inaccurate automated decisions</t>
  </si>
  <si>
    <t>Add human review for flagged cases</t>
  </si>
  <si>
    <t>AI Project Lead</t>
  </si>
  <si>
    <t>Algorithmic bias</t>
  </si>
  <si>
    <t>Bias audit quarterly</t>
  </si>
  <si>
    <t>Data Scientist</t>
  </si>
  <si>
    <t>Non-compliance with DPA</t>
  </si>
  <si>
    <t>Quarterly compliance reviews</t>
  </si>
  <si>
    <t>DPO</t>
  </si>
  <si>
    <t>Retention issues</t>
  </si>
  <si>
    <t>Automated deletion after 2 years</t>
  </si>
  <si>
    <t>IT Administrator</t>
  </si>
  <si>
    <t>Risk</t>
  </si>
  <si>
    <t>Justification</t>
  </si>
  <si>
    <t>Minor risk of AI misinterpretation</t>
  </si>
  <si>
    <t>Low</t>
  </si>
  <si>
    <t>Human review mitigates customer impact</t>
  </si>
  <si>
    <t>Residual risk of delayed deletion</t>
  </si>
  <si>
    <t>Medium</t>
  </si>
  <si>
    <t>Automation setup pending</t>
  </si>
  <si>
    <t>Section 6: Residual Risks</t>
  </si>
  <si>
    <t>Name</t>
  </si>
  <si>
    <t>Role</t>
  </si>
  <si>
    <t>Signature</t>
  </si>
  <si>
    <t>Date</t>
  </si>
  <si>
    <t>Mary Wambui</t>
  </si>
  <si>
    <t>[signed]</t>
  </si>
  <si>
    <t>James Otieno</t>
  </si>
  <si>
    <t>Data Protection Officer</t>
  </si>
  <si>
    <t>Ruth Kamau</t>
  </si>
  <si>
    <t>Managing Director</t>
  </si>
  <si>
    <t>Section 7: Approval and Sign-Off</t>
  </si>
  <si>
    <t>Next Review Date</t>
  </si>
  <si>
    <t>Annual or earlier if processing changes</t>
  </si>
  <si>
    <t>Notes</t>
  </si>
  <si>
    <t>Special review conditions</t>
  </si>
  <si>
    <t>Review sooner if chatbot data flow changes or AI model updated</t>
  </si>
  <si>
    <t>Section 8: Review and Update Schedule</t>
  </si>
  <si>
    <t>Risk ID</t>
  </si>
  <si>
    <t>Risk Description</t>
  </si>
  <si>
    <t>Mitigation Measures</t>
  </si>
  <si>
    <t>Review Notes</t>
  </si>
  <si>
    <t>RSK001</t>
  </si>
  <si>
    <t>Unauthorized access to personal data</t>
  </si>
  <si>
    <t>High</t>
  </si>
  <si>
    <t>Access control, encryption, training</t>
  </si>
  <si>
    <t>In Progress</t>
  </si>
  <si>
    <t>Audit to confirm permissions applied</t>
  </si>
  <si>
    <t>RSK002</t>
  </si>
  <si>
    <t>Data breach via third-party integration</t>
  </si>
  <si>
    <t>Vendor security audit, contracts review</t>
  </si>
  <si>
    <t>Check vendor audit results</t>
  </si>
  <si>
    <t>RSK003</t>
  </si>
  <si>
    <t>AI bias in responses</t>
  </si>
  <si>
    <t>Bias testing, retraining, audit logs</t>
  </si>
  <si>
    <t>Bias check every quarter</t>
  </si>
  <si>
    <t>RSK004</t>
  </si>
  <si>
    <t>Review flagged chats weekly</t>
  </si>
  <si>
    <t>RSK005</t>
  </si>
  <si>
    <t>Quarterly DPO audits</t>
  </si>
  <si>
    <t>Await DPO review</t>
  </si>
  <si>
    <t>RSK006</t>
  </si>
  <si>
    <t>Retention policy failure</t>
  </si>
  <si>
    <t>Automated deletion scripts</t>
  </si>
  <si>
    <t>Confirm deletion logs</t>
  </si>
  <si>
    <t>Section</t>
  </si>
  <si>
    <t>Description / Guidance</t>
  </si>
  <si>
    <t>Legal Reference</t>
  </si>
  <si>
    <t>Identify AI or data activity clearly</t>
  </si>
  <si>
    <t>WhatsApp Chatbot Customer Support</t>
  </si>
  <si>
    <t>Sec. 25</t>
  </si>
  <si>
    <t>Select from consent, contract, legal obligation, legitimate interest, public task, vital interest</t>
  </si>
  <si>
    <t>Contractual necessity</t>
  </si>
  <si>
    <t>Sec. 30</t>
  </si>
  <si>
    <t>Necessity</t>
  </si>
  <si>
    <t>Confirm that processing is essential for purpose</t>
  </si>
  <si>
    <t>Yes – required for chatbot automation</t>
  </si>
  <si>
    <t>Sec. 25(c)</t>
  </si>
  <si>
    <t>Risk Assessment</t>
  </si>
  <si>
    <t>Identify privacy and security risks</t>
  </si>
  <si>
    <t>AI bias, unauthorized access</t>
  </si>
  <si>
    <t>Sec. 31</t>
  </si>
  <si>
    <t>Consultation</t>
  </si>
  <si>
    <t>Document stakeholder consultation methods</t>
  </si>
  <si>
    <t>Meetings, surveys</t>
  </si>
  <si>
    <t>Sec. 37</t>
  </si>
  <si>
    <t>Outline risk control actions</t>
  </si>
  <si>
    <t>Encryption, training, audits</t>
  </si>
  <si>
    <t>Sec. 28</t>
  </si>
  <si>
    <t>Residual Risk</t>
  </si>
  <si>
    <t>Explain remaining risks post-control</t>
  </si>
  <si>
    <t>Low due to access controls</t>
  </si>
  <si>
    <t>Sec. 31(3)</t>
  </si>
  <si>
    <t>Approval</t>
  </si>
  <si>
    <t>Obtain DPO and management signatures</t>
  </si>
  <si>
    <t>Signed by DPO</t>
  </si>
  <si>
    <t>Sec. 37(1)(b)</t>
  </si>
  <si>
    <t>Review</t>
  </si>
  <si>
    <t>Review annually or after major system changes</t>
  </si>
  <si>
    <t>Next review: 01-Sep-2026</t>
  </si>
  <si>
    <t>Sec. 31(4)</t>
  </si>
  <si>
    <t>Date Updated</t>
  </si>
  <si>
    <t>Updated By</t>
  </si>
  <si>
    <t>Summary of Changes</t>
  </si>
  <si>
    <t>Approved By</t>
  </si>
  <si>
    <t>Approval Date</t>
  </si>
  <si>
    <t>Mary Wambui (DPIA Lead)</t>
  </si>
  <si>
    <t>Initial creation of DPIA form for AI chatbot</t>
  </si>
  <si>
    <t>James Otieno (DPO)</t>
  </si>
  <si>
    <t>(Legal and procedural guidance for completing each section – mapped to the Kenya DPA 2019)</t>
  </si>
  <si>
    <t>(Tracks all versions, updates, and approvals for audit trail)</t>
  </si>
  <si>
    <t>EXAMPLE</t>
  </si>
  <si>
    <t>Name of the activity or project being assessed</t>
  </si>
  <si>
    <t>Date the DPIA completion (DD-MM-YYYY)</t>
  </si>
  <si>
    <t>Explain what data is collected, how, and why</t>
  </si>
  <si>
    <t>AI chatbot collects customer names, contact details, and messages to automate order support</t>
  </si>
  <si>
    <t>Business justification and expected outcome</t>
  </si>
  <si>
    <t>Improve response time and automate customer interactions</t>
  </si>
  <si>
    <t>List all personal data types processed</t>
  </si>
  <si>
    <t>Name, phone number, chat content, payment confirmation details</t>
  </si>
  <si>
    <t>Identify whose data is processed</t>
  </si>
  <si>
    <t>Customers using WhatsApp chatbot</t>
  </si>
  <si>
    <r>
      <t xml:space="preserve">Legal Basis for Processing </t>
    </r>
    <r>
      <rPr>
        <i/>
        <sz val="12"/>
        <color theme="1"/>
        <rFont val="Calibri"/>
        <family val="2"/>
        <scheme val="minor"/>
      </rPr>
      <t>(Dropdown)</t>
    </r>
  </si>
  <si>
    <t>Select lawful basis (Consent, Contractual necessity, Legal obligation, Legitimate interest, Public task, Vital interest)</t>
  </si>
  <si>
    <r>
      <t xml:space="preserve">Data Flow Diagram Attached? </t>
    </r>
    <r>
      <rPr>
        <i/>
        <sz val="12"/>
        <color theme="1"/>
        <rFont val="Calibri"/>
        <family val="2"/>
        <scheme val="minor"/>
      </rPr>
      <t>(Dropdown Yes/No)</t>
    </r>
  </si>
  <si>
    <t>Indicates whether a data flow diagram is appended</t>
  </si>
  <si>
    <t>Section 1: Project / Processing Activity Details</t>
  </si>
  <si>
    <t>(Main Working Sheet – where the SME fills in their DPIA)</t>
  </si>
  <si>
    <r>
      <t xml:space="preserve">Response </t>
    </r>
    <r>
      <rPr>
        <b/>
        <i/>
        <sz val="12"/>
        <color theme="1"/>
        <rFont val="Calibri"/>
        <family val="2"/>
        <scheme val="minor"/>
      </rPr>
      <t>( Yes/No)</t>
    </r>
  </si>
  <si>
    <r>
      <t xml:space="preserve">Status </t>
    </r>
    <r>
      <rPr>
        <b/>
        <i/>
        <sz val="12"/>
        <color theme="1"/>
        <rFont val="Calibri"/>
        <family val="2"/>
        <scheme val="minor"/>
      </rPr>
      <t>( Open/In Progress/Closed)</t>
    </r>
  </si>
  <si>
    <r>
      <t xml:space="preserve">Residual Risk Level </t>
    </r>
    <r>
      <rPr>
        <b/>
        <i/>
        <sz val="12"/>
        <color theme="1"/>
        <rFont val="Calibri"/>
        <family val="2"/>
        <scheme val="minor"/>
      </rPr>
      <t>( Low/Medium/High)</t>
    </r>
  </si>
  <si>
    <t>Likelihood (High/Medium/Low)</t>
  </si>
  <si>
    <r>
      <t xml:space="preserve">Impact </t>
    </r>
    <r>
      <rPr>
        <b/>
        <i/>
        <sz val="12"/>
        <color theme="1"/>
        <rFont val="Calibri"/>
        <family val="2"/>
        <scheme val="minor"/>
      </rPr>
      <t>(High/Medium/Low)</t>
    </r>
  </si>
  <si>
    <r>
      <t xml:space="preserve">Residual Risk </t>
    </r>
    <r>
      <rPr>
        <b/>
        <i/>
        <sz val="12"/>
        <color theme="1"/>
        <rFont val="Calibri"/>
        <family val="2"/>
        <scheme val="minor"/>
      </rPr>
      <t>(High/Medium/Low)</t>
    </r>
  </si>
  <si>
    <r>
      <t xml:space="preserve">Status </t>
    </r>
    <r>
      <rPr>
        <b/>
        <i/>
        <sz val="12"/>
        <color theme="1"/>
        <rFont val="Calibri"/>
        <family val="2"/>
        <scheme val="minor"/>
      </rPr>
      <t>(Open/In Progress/Closed)</t>
    </r>
  </si>
  <si>
    <t xml:space="preserve">Overall Risk Level </t>
  </si>
  <si>
    <t>Attach the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</si>
</sst>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70C0"/>
      <name val="Calibri"/>
      <family val="2"/>
      <scheme val="minor"/>
    </font>
    <font>
      <i/>
      <sz val="1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5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5" fontId="3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C9413-EAD4-4023-8116-92DFF51960FE}" name="Table1" displayName="Table1" ref="A1:C6" totalsRowShown="0" headerRowDxfId="73">
  <autoFilter ref="A1:C6" xr:uid="{6A4C9413-EAD4-4023-8116-92DFF51960FE}"/>
  <tableColumns count="3">
    <tableColumn id="1" xr3:uid="{58660DED-9E98-47F3-9345-6EA123DA6C30}" name="Field" dataDxfId="72"/>
    <tableColumn id="2" xr3:uid="{EFE87545-DACD-4E71-8C1E-44AA705A746A}" name="Description / Function" dataDxfId="71"/>
    <tableColumn id="3" xr3:uid="{61C32759-85F2-4D92-AC84-9DCF9F32B993}" name="Example" dataDxfId="7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7B25BA-138A-43D6-8282-CDBBBAA97005}" name="Table6" displayName="Table6" ref="B37:D40" totalsRowShown="0" headerRowDxfId="69" dataDxfId="68">
  <autoFilter ref="B37:D40" xr:uid="{1E7B25BA-138A-43D6-8282-CDBBBAA97005}"/>
  <tableColumns count="3">
    <tableColumn id="1" xr3:uid="{9C8F66AF-D6AC-43E7-9F5B-ABB4CA5B44AD}" name="Stakeholder" dataDxfId="67"/>
    <tableColumn id="2" xr3:uid="{9468E9D8-8AFD-495F-81B7-44B605109D42}" name="Method of Consultation" dataDxfId="66"/>
    <tableColumn id="3" xr3:uid="{48F8E9AE-370D-4433-88C3-FF55DDE26682}" name="Summary of Feedback" dataDxfId="6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B9C768-DD5E-4B93-9BA2-869DF84FCDAD}" name="Table7" displayName="Table7" ref="B28:D31" totalsRowShown="0" headerRowDxfId="64" dataDxfId="63">
  <autoFilter ref="B28:D31" xr:uid="{D7B9C768-DD5E-4B93-9BA2-869DF84FCDAD}"/>
  <tableColumns count="3">
    <tableColumn id="1" xr3:uid="{5875FBC7-5B5D-4FBE-BF4A-7059C8C816E1}" name="Field" dataDxfId="62"/>
    <tableColumn id="2" xr3:uid="{B35F3A9E-4D06-403A-9649-1D298CC2673F}" name="Description" dataDxfId="61"/>
    <tableColumn id="3" xr3:uid="{0BC50FBF-0384-4CF7-A3AA-03C011D9A5A4}" name="Example" dataDxfId="6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090B8A-7894-415C-A238-F384BABF07EB}" name="Table8" displayName="Table8" ref="B21:D24" totalsRowShown="0" headerRowDxfId="59" dataDxfId="58">
  <autoFilter ref="B21:D24" xr:uid="{77090B8A-7894-415C-A238-F384BABF07EB}"/>
  <tableColumns count="3">
    <tableColumn id="1" xr3:uid="{7FAEB6E7-3E20-4600-A34A-550585FCAF36}" name="Question" dataDxfId="57"/>
    <tableColumn id="2" xr3:uid="{40FDD420-ECB9-4947-93DA-F25506C349F0}" name="Response ( Yes/No)" dataDxfId="56"/>
    <tableColumn id="3" xr3:uid="{C17D5603-EE49-4BF6-A7C1-1B5967CD9951}" name="Explanation" dataDxfId="5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472221-DA8F-4705-A88F-47239FEE47A2}" name="Table9" displayName="Table9" ref="B45:F51" totalsRowShown="0" headerRowDxfId="54" dataDxfId="53">
  <autoFilter ref="B45:F51" xr:uid="{1B472221-DA8F-4705-A88F-47239FEE47A2}"/>
  <tableColumns count="5">
    <tableColumn id="1" xr3:uid="{B1444885-4C99-4DF2-AF91-F7EC2ED8A3F1}" name="Risk / Issue" dataDxfId="52"/>
    <tableColumn id="2" xr3:uid="{330FCBD8-EECD-4348-B3D6-2BE62F6E7B35}" name="Mitigation Measure" dataDxfId="51"/>
    <tableColumn id="3" xr3:uid="{621FE318-1622-4A18-ACBE-B5AA0092B09E}" name="Responsible Person" dataDxfId="50"/>
    <tableColumn id="4" xr3:uid="{BFDBA8F1-1FF6-4F03-A6D1-EC7E1679F072}" name="Deadline" dataDxfId="49"/>
    <tableColumn id="5" xr3:uid="{9422D68A-A3BF-4EA4-98A5-D0631923289C}" name="Status ( Open/In Progress/Closed)" dataDxfId="48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A5D2EE-5437-40E2-9E13-25EB8E5032AC}" name="Table10" displayName="Table10" ref="B56:D58" totalsRowShown="0" headerRowDxfId="47" dataDxfId="46">
  <autoFilter ref="B56:D58" xr:uid="{7CA5D2EE-5437-40E2-9E13-25EB8E5032AC}"/>
  <tableColumns count="3">
    <tableColumn id="1" xr3:uid="{4087058C-5853-4009-BC50-92F802F1BF25}" name="Risk" dataDxfId="45"/>
    <tableColumn id="2" xr3:uid="{B315C6F3-29F4-4A68-82BF-68AA55D36A6C}" name="Residual Risk Level ( Low/Medium/High)" dataDxfId="44"/>
    <tableColumn id="3" xr3:uid="{72BC925B-B0A9-4425-A52B-F1271CD4F773}" name="Justification" dataDxfId="43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D4129E-9EB1-4C07-95FD-D9C06187152F}" name="Table11" displayName="Table11" ref="B63:E66" totalsRowShown="0" headerRowDxfId="42" dataDxfId="41">
  <autoFilter ref="B63:E66" xr:uid="{23D4129E-9EB1-4C07-95FD-D9C06187152F}"/>
  <tableColumns count="4">
    <tableColumn id="1" xr3:uid="{372EDE2A-1867-4EAE-9753-65241245B62A}" name="Name" dataDxfId="40"/>
    <tableColumn id="2" xr3:uid="{BBD24909-76AF-4D20-B57F-8E5363EAF922}" name="Role" dataDxfId="39"/>
    <tableColumn id="3" xr3:uid="{6EDF03C9-85A5-4E78-B8C2-14FE4F7C51C6}" name="Signature" dataDxfId="38"/>
    <tableColumn id="4" xr3:uid="{E6418208-E47C-43E0-B55E-098D123F5059}" name="Date" dataDxfId="37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924E415-0F5E-4121-A105-16DC0616641D}" name="Table12" displayName="Table12" ref="B71:D73" totalsRowShown="0" headerRowDxfId="36">
  <autoFilter ref="B71:D73" xr:uid="{3924E415-0F5E-4121-A105-16DC0616641D}"/>
  <tableColumns count="3">
    <tableColumn id="1" xr3:uid="{A396ABF2-B10C-4E30-9699-A748483C24F8}" name="Field" dataDxfId="35"/>
    <tableColumn id="2" xr3:uid="{A8B22B46-AC14-43AE-AB7A-9B1C84B443F7}" name="Description" dataDxfId="34"/>
    <tableColumn id="3" xr3:uid="{2E04817F-BFD4-4DA9-A27D-79CAE1C4F250}" name="Exampl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EB78971-DB93-4E24-A5DE-864855759758}" name="Table13" displayName="Table13" ref="B9:D17" totalsRowShown="0" headerRowDxfId="33" dataDxfId="32">
  <autoFilter ref="B9:D17" xr:uid="{4EB78971-DB93-4E24-A5DE-864855759758}"/>
  <tableColumns count="3">
    <tableColumn id="1" xr3:uid="{84AE3283-8D8A-4300-966B-3B00EF28483E}" name="Field" dataDxfId="31"/>
    <tableColumn id="2" xr3:uid="{29F84B84-C4D2-4801-B5E8-F5064DE9F047}" name="Description" dataDxfId="30"/>
    <tableColumn id="3" xr3:uid="{F25FA6A8-F160-4B2F-B590-919816F86635}" name="Example" dataDxfId="29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53B2E6-412D-4898-A15D-2E0255AC0B0D}" name="Table3" displayName="Table3" ref="A1:K7" totalsRowShown="0" headerRowDxfId="0" dataDxfId="28">
  <autoFilter ref="A1:K7" xr:uid="{AA53B2E6-412D-4898-A15D-2E0255AC0B0D}"/>
  <tableColumns count="11">
    <tableColumn id="1" xr3:uid="{D5E3BD7E-6096-4279-9D76-4A10ACECE4F8}" name="Risk ID" dataDxfId="27"/>
    <tableColumn id="2" xr3:uid="{8615F239-DBBD-4E25-8223-8C801DAEE8CC}" name="Risk Description" dataDxfId="26"/>
    <tableColumn id="3" xr3:uid="{AF6DDB3E-AE6B-4DF5-9AD3-69A62AAEC6D7}" name="Likelihood (High/Medium/Low)" dataDxfId="25"/>
    <tableColumn id="4" xr3:uid="{C6B3C2FC-67F0-4942-9370-5D4E61E3DF6F}" name="Impact (High/Medium/Low)" dataDxfId="24"/>
    <tableColumn id="5" xr3:uid="{597C8A22-A080-4C23-A713-FFB92C889416}" name="Overall Risk Level " dataDxfId="23">
      <calculatedColumnFormula>IF(OR(C2="High",D2="High"),"High",IF(AND(C2="Low",D2="Low"),"Low","Medium"))</calculatedColumnFormula>
    </tableColumn>
    <tableColumn id="6" xr3:uid="{CCFD4E88-0F54-4D71-9E61-64CFCBE2E9FA}" name="Mitigation Measures" dataDxfId="22"/>
    <tableColumn id="7" xr3:uid="{BD6CF33D-5830-4A3C-9ECB-44F82405E99E}" name="Responsible Person" dataDxfId="21"/>
    <tableColumn id="8" xr3:uid="{A0181C86-ED70-4A4D-940D-4367056B8A06}" name="Deadline" dataDxfId="20"/>
    <tableColumn id="9" xr3:uid="{56A06DDC-9AC2-4D08-93C1-680D447182B8}" name="Status (Open/In Progress/Closed)" dataDxfId="19"/>
    <tableColumn id="10" xr3:uid="{96639ED6-2E81-4366-8CD2-B88F4BA14F86}" name="Residual Risk (High/Medium/Low)" dataDxfId="18"/>
    <tableColumn id="11" xr3:uid="{7F37612A-0232-4ECA-B0E8-32651EA93000}" name="Review Notes" dataDxfId="1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7F797F-32A7-46FA-B6F7-064275E36CDA}" name="Table4" displayName="Table4" ref="A3:E12" totalsRowShown="0" headerRowDxfId="16" dataDxfId="15">
  <autoFilter ref="A3:E12" xr:uid="{A57F797F-32A7-46FA-B6F7-064275E36CDA}"/>
  <tableColumns count="5">
    <tableColumn id="1" xr3:uid="{F8408CC0-F6F4-4F2E-B7D3-10F488FAA3C1}" name="Section" dataDxfId="14"/>
    <tableColumn id="2" xr3:uid="{F5ED8978-9B5E-49E3-88AC-4781F95332FC}" name="Field" dataDxfId="13"/>
    <tableColumn id="3" xr3:uid="{A1F2799D-1CC8-4AC8-B091-B611422570CE}" name="Description / Guidance" dataDxfId="12"/>
    <tableColumn id="4" xr3:uid="{15937796-C239-4797-AC78-F9CC1D8B9426}" name="Example" dataDxfId="11"/>
    <tableColumn id="5" xr3:uid="{A9C6FF64-7B1B-44DE-A992-1B8F3D8432BC}" name="Legal Reference" dataDxfId="10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F8375D-8470-4CC2-8AB8-C59EA0B0E89C}" name="Table5" displayName="Table5" ref="A3:G4" totalsRowShown="0" headerRowDxfId="9" dataDxfId="8">
  <autoFilter ref="A3:G4" xr:uid="{D6F8375D-8470-4CC2-8AB8-C59EA0B0E89C}"/>
  <tableColumns count="7">
    <tableColumn id="1" xr3:uid="{42B98934-11B2-4F39-B91A-580955C07AAC}" name="Version" dataDxfId="7"/>
    <tableColumn id="2" xr3:uid="{99D3FFFA-A6EA-4FFF-AC7B-FC017B162CB5}" name="Date Updated" dataDxfId="6"/>
    <tableColumn id="3" xr3:uid="{EDDED37A-0F06-45E5-AEEB-DFE277E2AC95}" name="Updated By" dataDxfId="5"/>
    <tableColumn id="4" xr3:uid="{A7494224-E6B7-45E6-BB63-5EDBB99B5E85}" name="Summary of Changes" dataDxfId="4"/>
    <tableColumn id="5" xr3:uid="{E6BB7199-5BC0-4DB9-8470-744A142F3051}" name="Approved By" dataDxfId="3"/>
    <tableColumn id="6" xr3:uid="{B11BFB8D-4BF8-4EAE-9FB9-E3CF55219C78}" name="Approval Date" dataDxfId="2"/>
    <tableColumn id="7" xr3:uid="{EB3F6737-E555-496F-9203-AFE62CA52C4A}" name="Next Review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DDB6-275B-467B-B97E-0D8CE08E8113}">
  <dimension ref="A1:F73"/>
  <sheetViews>
    <sheetView tabSelected="1" topLeftCell="A13" workbookViewId="0">
      <selection activeCell="B37" sqref="B37:D37"/>
    </sheetView>
  </sheetViews>
  <sheetFormatPr defaultRowHeight="14.5" x14ac:dyDescent="0.35"/>
  <cols>
    <col min="1" max="1" width="12.6328125" customWidth="1"/>
    <col min="2" max="2" width="21.36328125" customWidth="1"/>
    <col min="3" max="3" width="46.7265625" customWidth="1"/>
    <col min="4" max="4" width="23" customWidth="1"/>
    <col min="5" max="5" width="10.90625" customWidth="1"/>
    <col min="6" max="6" width="43.81640625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ht="29" x14ac:dyDescent="0.35">
      <c r="A2" s="3" t="s">
        <v>3</v>
      </c>
      <c r="B2" s="2" t="s">
        <v>4</v>
      </c>
      <c r="C2" s="4" t="s">
        <v>5</v>
      </c>
      <c r="E2" s="13" t="s">
        <v>196</v>
      </c>
    </row>
    <row r="3" spans="1:5" ht="29" x14ac:dyDescent="0.35">
      <c r="A3" s="3" t="s">
        <v>6</v>
      </c>
      <c r="B3" s="2" t="s">
        <v>7</v>
      </c>
      <c r="C3" s="5">
        <v>45962</v>
      </c>
    </row>
    <row r="4" spans="1:5" ht="29" x14ac:dyDescent="0.35">
      <c r="A4" s="3" t="s">
        <v>8</v>
      </c>
      <c r="B4" s="2" t="s">
        <v>9</v>
      </c>
      <c r="C4" s="4">
        <v>1</v>
      </c>
    </row>
    <row r="5" spans="1:5" ht="29" x14ac:dyDescent="0.35">
      <c r="A5" s="3" t="s">
        <v>10</v>
      </c>
      <c r="B5" s="2" t="s">
        <v>11</v>
      </c>
      <c r="C5" s="4" t="s">
        <v>12</v>
      </c>
    </row>
    <row r="6" spans="1:5" ht="43.5" x14ac:dyDescent="0.35">
      <c r="A6" s="3" t="s">
        <v>13</v>
      </c>
      <c r="B6" s="2" t="s">
        <v>14</v>
      </c>
      <c r="C6" s="4" t="s">
        <v>15</v>
      </c>
    </row>
    <row r="7" spans="1:5" ht="15.5" x14ac:dyDescent="0.35">
      <c r="D7" s="9"/>
    </row>
    <row r="8" spans="1:5" ht="15.5" x14ac:dyDescent="0.35">
      <c r="B8" s="12" t="s">
        <v>195</v>
      </c>
    </row>
    <row r="9" spans="1:5" ht="15.5" x14ac:dyDescent="0.35">
      <c r="B9" s="14" t="s">
        <v>0</v>
      </c>
      <c r="C9" s="14" t="s">
        <v>16</v>
      </c>
      <c r="D9" s="14" t="s">
        <v>2</v>
      </c>
    </row>
    <row r="10" spans="1:5" ht="31" x14ac:dyDescent="0.35">
      <c r="B10" s="7" t="s">
        <v>17</v>
      </c>
      <c r="C10" s="7" t="s">
        <v>181</v>
      </c>
      <c r="D10" s="7" t="s">
        <v>18</v>
      </c>
    </row>
    <row r="11" spans="1:5" ht="15.5" x14ac:dyDescent="0.35">
      <c r="B11" s="7" t="s">
        <v>19</v>
      </c>
      <c r="C11" s="7" t="s">
        <v>182</v>
      </c>
      <c r="D11" s="8">
        <v>45901</v>
      </c>
    </row>
    <row r="12" spans="1:5" ht="77.5" x14ac:dyDescent="0.35">
      <c r="B12" s="7" t="s">
        <v>20</v>
      </c>
      <c r="C12" s="7" t="s">
        <v>183</v>
      </c>
      <c r="D12" s="7" t="s">
        <v>184</v>
      </c>
    </row>
    <row r="13" spans="1:5" ht="46.5" x14ac:dyDescent="0.35">
      <c r="B13" s="7" t="s">
        <v>21</v>
      </c>
      <c r="C13" s="7" t="s">
        <v>185</v>
      </c>
      <c r="D13" s="7" t="s">
        <v>186</v>
      </c>
    </row>
    <row r="14" spans="1:5" ht="46.5" x14ac:dyDescent="0.35">
      <c r="B14" s="7" t="s">
        <v>22</v>
      </c>
      <c r="C14" s="7" t="s">
        <v>187</v>
      </c>
      <c r="D14" s="7" t="s">
        <v>188</v>
      </c>
    </row>
    <row r="15" spans="1:5" ht="31" x14ac:dyDescent="0.35">
      <c r="B15" s="7" t="s">
        <v>23</v>
      </c>
      <c r="C15" s="7" t="s">
        <v>189</v>
      </c>
      <c r="D15" s="7" t="s">
        <v>190</v>
      </c>
    </row>
    <row r="16" spans="1:5" ht="46.5" x14ac:dyDescent="0.35">
      <c r="B16" s="7" t="s">
        <v>191</v>
      </c>
      <c r="C16" s="7" t="s">
        <v>192</v>
      </c>
      <c r="D16" s="7" t="s">
        <v>141</v>
      </c>
    </row>
    <row r="17" spans="2:4" ht="46.5" x14ac:dyDescent="0.35">
      <c r="B17" s="7" t="s">
        <v>193</v>
      </c>
      <c r="C17" s="7" t="s">
        <v>194</v>
      </c>
      <c r="D17" s="7" t="s">
        <v>205</v>
      </c>
    </row>
    <row r="19" spans="2:4" ht="15.5" x14ac:dyDescent="0.35">
      <c r="B19" s="12" t="s">
        <v>43</v>
      </c>
    </row>
    <row r="21" spans="2:4" ht="20.5" customHeight="1" x14ac:dyDescent="0.35">
      <c r="B21" s="14" t="s">
        <v>25</v>
      </c>
      <c r="C21" s="14" t="s">
        <v>197</v>
      </c>
      <c r="D21" s="14" t="s">
        <v>26</v>
      </c>
    </row>
    <row r="22" spans="2:4" ht="59" customHeight="1" x14ac:dyDescent="0.35">
      <c r="B22" s="7" t="s">
        <v>27</v>
      </c>
      <c r="C22" s="7" t="s">
        <v>28</v>
      </c>
      <c r="D22" s="7" t="s">
        <v>29</v>
      </c>
    </row>
    <row r="23" spans="2:4" ht="59.5" customHeight="1" x14ac:dyDescent="0.35">
      <c r="B23" s="7" t="s">
        <v>30</v>
      </c>
      <c r="C23" s="7" t="s">
        <v>28</v>
      </c>
      <c r="D23" s="7" t="s">
        <v>31</v>
      </c>
    </row>
    <row r="24" spans="2:4" ht="73" customHeight="1" x14ac:dyDescent="0.35">
      <c r="B24" s="7" t="s">
        <v>32</v>
      </c>
      <c r="C24" s="7" t="s">
        <v>28</v>
      </c>
      <c r="D24" s="7" t="s">
        <v>33</v>
      </c>
    </row>
    <row r="26" spans="2:4" ht="15.5" x14ac:dyDescent="0.35">
      <c r="B26" s="12" t="s">
        <v>42</v>
      </c>
    </row>
    <row r="28" spans="2:4" ht="15.5" x14ac:dyDescent="0.35">
      <c r="B28" s="14" t="s">
        <v>0</v>
      </c>
      <c r="C28" s="14" t="s">
        <v>16</v>
      </c>
      <c r="D28" s="14" t="s">
        <v>2</v>
      </c>
    </row>
    <row r="29" spans="2:4" ht="46.5" x14ac:dyDescent="0.35">
      <c r="B29" s="7" t="s">
        <v>34</v>
      </c>
      <c r="C29" s="7" t="s">
        <v>35</v>
      </c>
      <c r="D29" s="7" t="s">
        <v>36</v>
      </c>
    </row>
    <row r="30" spans="2:4" ht="46.5" x14ac:dyDescent="0.35">
      <c r="B30" s="7" t="s">
        <v>37</v>
      </c>
      <c r="C30" s="7" t="s">
        <v>38</v>
      </c>
      <c r="D30" s="7" t="s">
        <v>113</v>
      </c>
    </row>
    <row r="31" spans="2:4" ht="31" x14ac:dyDescent="0.35">
      <c r="B31" s="7" t="s">
        <v>39</v>
      </c>
      <c r="C31" s="7" t="s">
        <v>40</v>
      </c>
      <c r="D31" s="7" t="s">
        <v>41</v>
      </c>
    </row>
    <row r="34" spans="2:6" ht="15.5" x14ac:dyDescent="0.35">
      <c r="B34" s="12" t="s">
        <v>44</v>
      </c>
    </row>
    <row r="37" spans="2:6" ht="23.5" customHeight="1" x14ac:dyDescent="0.35">
      <c r="B37" s="14" t="s">
        <v>45</v>
      </c>
      <c r="C37" s="14" t="s">
        <v>46</v>
      </c>
      <c r="D37" s="14" t="s">
        <v>47</v>
      </c>
    </row>
    <row r="38" spans="2:6" ht="46.5" x14ac:dyDescent="0.35">
      <c r="B38" s="7" t="s">
        <v>48</v>
      </c>
      <c r="C38" s="7" t="s">
        <v>49</v>
      </c>
      <c r="D38" s="7" t="s">
        <v>50</v>
      </c>
    </row>
    <row r="39" spans="2:6" ht="46.5" x14ac:dyDescent="0.35">
      <c r="B39" s="7" t="s">
        <v>51</v>
      </c>
      <c r="C39" s="7" t="s">
        <v>52</v>
      </c>
      <c r="D39" s="7" t="s">
        <v>53</v>
      </c>
    </row>
    <row r="40" spans="2:6" ht="46.5" x14ac:dyDescent="0.35">
      <c r="B40" s="7" t="s">
        <v>54</v>
      </c>
      <c r="C40" s="7" t="s">
        <v>55</v>
      </c>
      <c r="D40" s="7" t="s">
        <v>56</v>
      </c>
    </row>
    <row r="43" spans="2:6" ht="15.5" x14ac:dyDescent="0.35">
      <c r="B43" s="12" t="s">
        <v>57</v>
      </c>
    </row>
    <row r="45" spans="2:6" ht="25" customHeight="1" x14ac:dyDescent="0.35">
      <c r="B45" s="6" t="s">
        <v>58</v>
      </c>
      <c r="C45" s="6" t="s">
        <v>59</v>
      </c>
      <c r="D45" s="6" t="s">
        <v>60</v>
      </c>
      <c r="E45" s="6" t="s">
        <v>61</v>
      </c>
      <c r="F45" s="6" t="s">
        <v>198</v>
      </c>
    </row>
    <row r="46" spans="2:6" ht="15.5" x14ac:dyDescent="0.35">
      <c r="B46" s="7" t="s">
        <v>62</v>
      </c>
      <c r="C46" s="7" t="s">
        <v>63</v>
      </c>
      <c r="D46" s="7" t="s">
        <v>64</v>
      </c>
      <c r="E46" s="8">
        <v>45991</v>
      </c>
      <c r="F46" s="7" t="s">
        <v>65</v>
      </c>
    </row>
    <row r="47" spans="2:6" ht="15.5" x14ac:dyDescent="0.35">
      <c r="B47" s="7" t="s">
        <v>66</v>
      </c>
      <c r="C47" s="7" t="s">
        <v>67</v>
      </c>
      <c r="D47" s="7" t="s">
        <v>68</v>
      </c>
      <c r="E47" s="8">
        <v>46006</v>
      </c>
      <c r="F47" s="7" t="s">
        <v>65</v>
      </c>
    </row>
    <row r="48" spans="2:6" ht="31" x14ac:dyDescent="0.35">
      <c r="B48" s="7" t="s">
        <v>69</v>
      </c>
      <c r="C48" s="7" t="s">
        <v>70</v>
      </c>
      <c r="D48" s="7" t="s">
        <v>71</v>
      </c>
      <c r="E48" s="8">
        <v>46022</v>
      </c>
      <c r="F48" s="7" t="s">
        <v>65</v>
      </c>
    </row>
    <row r="49" spans="2:6" ht="15.5" x14ac:dyDescent="0.35">
      <c r="B49" s="7" t="s">
        <v>72</v>
      </c>
      <c r="C49" s="7" t="s">
        <v>73</v>
      </c>
      <c r="D49" s="7" t="s">
        <v>74</v>
      </c>
      <c r="E49" s="8">
        <v>46054</v>
      </c>
      <c r="F49" s="7" t="s">
        <v>65</v>
      </c>
    </row>
    <row r="50" spans="2:6" ht="31" x14ac:dyDescent="0.35">
      <c r="B50" s="7" t="s">
        <v>75</v>
      </c>
      <c r="C50" s="7" t="s">
        <v>76</v>
      </c>
      <c r="D50" s="7" t="s">
        <v>77</v>
      </c>
      <c r="E50" s="8">
        <v>46006</v>
      </c>
      <c r="F50" s="7" t="s">
        <v>65</v>
      </c>
    </row>
    <row r="51" spans="2:6" ht="15.5" x14ac:dyDescent="0.35">
      <c r="B51" s="7" t="s">
        <v>78</v>
      </c>
      <c r="C51" s="7" t="s">
        <v>79</v>
      </c>
      <c r="D51" s="7" t="s">
        <v>80</v>
      </c>
      <c r="E51" s="8">
        <v>46023</v>
      </c>
      <c r="F51" s="7" t="s">
        <v>65</v>
      </c>
    </row>
    <row r="53" spans="2:6" ht="15.5" x14ac:dyDescent="0.35">
      <c r="B53" s="12" t="s">
        <v>89</v>
      </c>
    </row>
    <row r="56" spans="2:6" ht="23.5" customHeight="1" x14ac:dyDescent="0.35">
      <c r="B56" s="6" t="s">
        <v>81</v>
      </c>
      <c r="C56" s="6" t="s">
        <v>199</v>
      </c>
      <c r="D56" s="6" t="s">
        <v>82</v>
      </c>
    </row>
    <row r="57" spans="2:6" ht="37.5" customHeight="1" x14ac:dyDescent="0.35">
      <c r="B57" s="7" t="s">
        <v>83</v>
      </c>
      <c r="C57" s="7" t="s">
        <v>84</v>
      </c>
      <c r="D57" s="7" t="s">
        <v>85</v>
      </c>
    </row>
    <row r="58" spans="2:6" ht="31" x14ac:dyDescent="0.35">
      <c r="B58" s="7" t="s">
        <v>86</v>
      </c>
      <c r="C58" s="7" t="s">
        <v>87</v>
      </c>
      <c r="D58" s="7" t="s">
        <v>88</v>
      </c>
    </row>
    <row r="61" spans="2:6" ht="15.5" x14ac:dyDescent="0.35">
      <c r="B61" s="12" t="s">
        <v>100</v>
      </c>
    </row>
    <row r="63" spans="2:6" ht="15.5" x14ac:dyDescent="0.35">
      <c r="B63" s="6" t="s">
        <v>90</v>
      </c>
      <c r="C63" s="6" t="s">
        <v>91</v>
      </c>
      <c r="D63" s="6" t="s">
        <v>92</v>
      </c>
      <c r="E63" s="6" t="s">
        <v>93</v>
      </c>
    </row>
    <row r="64" spans="2:6" ht="15.5" x14ac:dyDescent="0.35">
      <c r="B64" s="7" t="s">
        <v>94</v>
      </c>
      <c r="C64" s="7" t="s">
        <v>10</v>
      </c>
      <c r="D64" s="7" t="s">
        <v>95</v>
      </c>
      <c r="E64" s="8">
        <v>45901</v>
      </c>
    </row>
    <row r="65" spans="2:5" ht="15.5" x14ac:dyDescent="0.35">
      <c r="B65" s="7" t="s">
        <v>96</v>
      </c>
      <c r="C65" s="7" t="s">
        <v>97</v>
      </c>
      <c r="D65" s="7" t="s">
        <v>95</v>
      </c>
      <c r="E65" s="8">
        <v>45903</v>
      </c>
    </row>
    <row r="66" spans="2:5" ht="15.5" x14ac:dyDescent="0.35">
      <c r="B66" s="7" t="s">
        <v>98</v>
      </c>
      <c r="C66" s="7" t="s">
        <v>99</v>
      </c>
      <c r="D66" s="7" t="s">
        <v>95</v>
      </c>
      <c r="E66" s="8">
        <v>45904</v>
      </c>
    </row>
    <row r="69" spans="2:5" ht="15.5" x14ac:dyDescent="0.35">
      <c r="B69" s="12" t="s">
        <v>106</v>
      </c>
    </row>
    <row r="71" spans="2:5" ht="15.5" x14ac:dyDescent="0.35">
      <c r="B71" s="6" t="s">
        <v>0</v>
      </c>
      <c r="C71" s="6" t="s">
        <v>16</v>
      </c>
      <c r="D71" s="6" t="s">
        <v>2</v>
      </c>
    </row>
    <row r="72" spans="2:5" ht="15.5" x14ac:dyDescent="0.35">
      <c r="B72" s="7" t="s">
        <v>101</v>
      </c>
      <c r="C72" s="7" t="s">
        <v>102</v>
      </c>
      <c r="D72" s="8">
        <v>46266</v>
      </c>
    </row>
    <row r="73" spans="2:5" ht="62" x14ac:dyDescent="0.35">
      <c r="B73" s="7" t="s">
        <v>103</v>
      </c>
      <c r="C73" s="7" t="s">
        <v>104</v>
      </c>
      <c r="D73" s="7" t="s">
        <v>105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CF30-4F60-409F-AD17-7F04A9F06110}">
  <dimension ref="A1:K7"/>
  <sheetViews>
    <sheetView zoomScale="75" workbookViewId="0">
      <selection sqref="A1:K1"/>
    </sheetView>
  </sheetViews>
  <sheetFormatPr defaultRowHeight="14.5" x14ac:dyDescent="0.35"/>
  <cols>
    <col min="1" max="1" width="9" customWidth="1"/>
    <col min="2" max="2" width="17.54296875" customWidth="1"/>
    <col min="3" max="3" width="24" customWidth="1"/>
    <col min="4" max="4" width="20.81640625" customWidth="1"/>
    <col min="5" max="5" width="28.36328125" customWidth="1"/>
    <col min="6" max="6" width="21.7265625" customWidth="1"/>
    <col min="7" max="7" width="20.7265625" customWidth="1"/>
    <col min="8" max="8" width="12.1796875" customWidth="1"/>
    <col min="9" max="9" width="20.1796875" customWidth="1"/>
    <col min="10" max="10" width="26.6328125" customWidth="1"/>
    <col min="11" max="11" width="15.26953125" customWidth="1"/>
  </cols>
  <sheetData>
    <row r="1" spans="1:11" ht="31" x14ac:dyDescent="0.35">
      <c r="A1" s="15" t="s">
        <v>107</v>
      </c>
      <c r="B1" s="15" t="s">
        <v>108</v>
      </c>
      <c r="C1" s="15" t="s">
        <v>200</v>
      </c>
      <c r="D1" s="15" t="s">
        <v>201</v>
      </c>
      <c r="E1" s="15" t="s">
        <v>204</v>
      </c>
      <c r="F1" s="15" t="s">
        <v>109</v>
      </c>
      <c r="G1" s="15" t="s">
        <v>60</v>
      </c>
      <c r="H1" s="15" t="s">
        <v>61</v>
      </c>
      <c r="I1" s="15" t="s">
        <v>203</v>
      </c>
      <c r="J1" s="15" t="s">
        <v>202</v>
      </c>
      <c r="K1" s="15" t="s">
        <v>110</v>
      </c>
    </row>
    <row r="2" spans="1:11" ht="71" customHeight="1" x14ac:dyDescent="0.35">
      <c r="A2" s="7" t="s">
        <v>111</v>
      </c>
      <c r="B2" s="7" t="s">
        <v>112</v>
      </c>
      <c r="C2" s="7" t="s">
        <v>87</v>
      </c>
      <c r="D2" s="7" t="s">
        <v>113</v>
      </c>
      <c r="E2" s="7" t="str">
        <f t="shared" ref="E2:E7" si="0">IF(OR(C2="High",D2="High"),"High",IF(AND(C2="Low",D2="Low"),"Low","Medium"))</f>
        <v>High</v>
      </c>
      <c r="F2" s="7" t="s">
        <v>114</v>
      </c>
      <c r="G2" s="7" t="s">
        <v>64</v>
      </c>
      <c r="H2" s="8">
        <v>45991</v>
      </c>
      <c r="I2" s="7" t="s">
        <v>115</v>
      </c>
      <c r="J2" s="7" t="s">
        <v>84</v>
      </c>
      <c r="K2" s="7" t="s">
        <v>116</v>
      </c>
    </row>
    <row r="3" spans="1:11" ht="71" customHeight="1" x14ac:dyDescent="0.35">
      <c r="A3" s="7" t="s">
        <v>117</v>
      </c>
      <c r="B3" s="7" t="s">
        <v>118</v>
      </c>
      <c r="C3" s="7" t="s">
        <v>87</v>
      </c>
      <c r="D3" s="7" t="s">
        <v>113</v>
      </c>
      <c r="E3" s="7" t="str">
        <f t="shared" si="0"/>
        <v>High</v>
      </c>
      <c r="F3" s="7" t="s">
        <v>119</v>
      </c>
      <c r="G3" s="7" t="s">
        <v>68</v>
      </c>
      <c r="H3" s="8">
        <v>46006</v>
      </c>
      <c r="I3" s="7" t="s">
        <v>65</v>
      </c>
      <c r="J3" s="7" t="s">
        <v>87</v>
      </c>
      <c r="K3" s="7" t="s">
        <v>120</v>
      </c>
    </row>
    <row r="4" spans="1:11" ht="77.5" x14ac:dyDescent="0.35">
      <c r="A4" s="7" t="s">
        <v>121</v>
      </c>
      <c r="B4" s="7" t="s">
        <v>122</v>
      </c>
      <c r="C4" s="7" t="s">
        <v>87</v>
      </c>
      <c r="D4" s="7" t="s">
        <v>87</v>
      </c>
      <c r="E4" s="7" t="str">
        <f t="shared" si="0"/>
        <v>Medium</v>
      </c>
      <c r="F4" s="7" t="s">
        <v>123</v>
      </c>
      <c r="G4" s="7" t="s">
        <v>74</v>
      </c>
      <c r="H4" s="8">
        <v>46054</v>
      </c>
      <c r="I4" s="7" t="s">
        <v>65</v>
      </c>
      <c r="J4" s="7" t="s">
        <v>84</v>
      </c>
      <c r="K4" s="7" t="s">
        <v>124</v>
      </c>
    </row>
    <row r="5" spans="1:11" ht="50.5" customHeight="1" x14ac:dyDescent="0.35">
      <c r="A5" s="7" t="s">
        <v>125</v>
      </c>
      <c r="B5" s="7" t="s">
        <v>69</v>
      </c>
      <c r="C5" s="7" t="s">
        <v>87</v>
      </c>
      <c r="D5" s="7" t="s">
        <v>87</v>
      </c>
      <c r="E5" s="7" t="str">
        <f t="shared" si="0"/>
        <v>Medium</v>
      </c>
      <c r="F5" s="7" t="s">
        <v>70</v>
      </c>
      <c r="G5" s="7" t="s">
        <v>71</v>
      </c>
      <c r="H5" s="8">
        <v>46022</v>
      </c>
      <c r="I5" s="7" t="s">
        <v>65</v>
      </c>
      <c r="J5" s="7" t="s">
        <v>84</v>
      </c>
      <c r="K5" s="7" t="s">
        <v>126</v>
      </c>
    </row>
    <row r="6" spans="1:11" ht="35" customHeight="1" x14ac:dyDescent="0.35">
      <c r="A6" s="7" t="s">
        <v>127</v>
      </c>
      <c r="B6" s="7" t="s">
        <v>75</v>
      </c>
      <c r="C6" s="7" t="s">
        <v>84</v>
      </c>
      <c r="D6" s="7" t="s">
        <v>113</v>
      </c>
      <c r="E6" s="7" t="str">
        <f t="shared" si="0"/>
        <v>High</v>
      </c>
      <c r="F6" s="7" t="s">
        <v>128</v>
      </c>
      <c r="G6" s="7" t="s">
        <v>77</v>
      </c>
      <c r="H6" s="8">
        <v>46006</v>
      </c>
      <c r="I6" s="7" t="s">
        <v>65</v>
      </c>
      <c r="J6" s="7" t="s">
        <v>84</v>
      </c>
      <c r="K6" s="7" t="s">
        <v>129</v>
      </c>
    </row>
    <row r="7" spans="1:11" ht="39" customHeight="1" x14ac:dyDescent="0.35">
      <c r="A7" s="7" t="s">
        <v>130</v>
      </c>
      <c r="B7" s="7" t="s">
        <v>131</v>
      </c>
      <c r="C7" s="7" t="s">
        <v>87</v>
      </c>
      <c r="D7" s="7" t="s">
        <v>87</v>
      </c>
      <c r="E7" s="7" t="str">
        <f t="shared" si="0"/>
        <v>Medium</v>
      </c>
      <c r="F7" s="7" t="s">
        <v>132</v>
      </c>
      <c r="G7" s="7" t="s">
        <v>80</v>
      </c>
      <c r="H7" s="8">
        <v>46023</v>
      </c>
      <c r="I7" s="7" t="s">
        <v>65</v>
      </c>
      <c r="J7" s="7" t="s">
        <v>87</v>
      </c>
      <c r="K7" s="7" t="s">
        <v>133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36DE-A7CE-4BE4-A7EE-145B278A0878}">
  <dimension ref="A1:E12"/>
  <sheetViews>
    <sheetView workbookViewId="0">
      <selection activeCell="F2" sqref="F2"/>
    </sheetView>
  </sheetViews>
  <sheetFormatPr defaultRowHeight="14.5" x14ac:dyDescent="0.35"/>
  <cols>
    <col min="1" max="1" width="9.453125" customWidth="1"/>
    <col min="2" max="2" width="13.81640625" customWidth="1"/>
    <col min="3" max="3" width="23.6328125" customWidth="1"/>
    <col min="4" max="4" width="18.36328125" customWidth="1"/>
    <col min="5" max="5" width="17.1796875" customWidth="1"/>
  </cols>
  <sheetData>
    <row r="1" spans="1:5" ht="15.5" x14ac:dyDescent="0.35">
      <c r="A1" s="10" t="s">
        <v>178</v>
      </c>
    </row>
    <row r="3" spans="1:5" ht="15.5" x14ac:dyDescent="0.35">
      <c r="A3" s="6" t="s">
        <v>134</v>
      </c>
      <c r="B3" s="6" t="s">
        <v>0</v>
      </c>
      <c r="C3" s="6" t="s">
        <v>135</v>
      </c>
      <c r="D3" s="6" t="s">
        <v>2</v>
      </c>
      <c r="E3" s="6" t="s">
        <v>136</v>
      </c>
    </row>
    <row r="4" spans="1:5" ht="93" x14ac:dyDescent="0.35">
      <c r="A4" s="7">
        <v>1</v>
      </c>
      <c r="B4" s="7" t="s">
        <v>17</v>
      </c>
      <c r="C4" s="7" t="s">
        <v>137</v>
      </c>
      <c r="D4" s="7" t="s">
        <v>138</v>
      </c>
      <c r="E4" s="7" t="s">
        <v>139</v>
      </c>
    </row>
    <row r="5" spans="1:5" ht="99" customHeight="1" x14ac:dyDescent="0.35">
      <c r="A5" s="7">
        <v>1</v>
      </c>
      <c r="B5" s="7" t="s">
        <v>24</v>
      </c>
      <c r="C5" s="7" t="s">
        <v>140</v>
      </c>
      <c r="D5" s="7" t="s">
        <v>141</v>
      </c>
      <c r="E5" s="7" t="s">
        <v>142</v>
      </c>
    </row>
    <row r="6" spans="1:5" ht="46.5" x14ac:dyDescent="0.35">
      <c r="A6" s="7">
        <v>2</v>
      </c>
      <c r="B6" s="7" t="s">
        <v>143</v>
      </c>
      <c r="C6" s="7" t="s">
        <v>144</v>
      </c>
      <c r="D6" s="7" t="s">
        <v>145</v>
      </c>
      <c r="E6" s="7" t="s">
        <v>146</v>
      </c>
    </row>
    <row r="7" spans="1:5" ht="46.5" x14ac:dyDescent="0.35">
      <c r="A7" s="7">
        <v>3</v>
      </c>
      <c r="B7" s="7" t="s">
        <v>147</v>
      </c>
      <c r="C7" s="7" t="s">
        <v>148</v>
      </c>
      <c r="D7" s="7" t="s">
        <v>149</v>
      </c>
      <c r="E7" s="7" t="s">
        <v>150</v>
      </c>
    </row>
    <row r="8" spans="1:5" ht="94.5" customHeight="1" x14ac:dyDescent="0.35">
      <c r="A8" s="7">
        <v>4</v>
      </c>
      <c r="B8" s="7" t="s">
        <v>151</v>
      </c>
      <c r="C8" s="7" t="s">
        <v>152</v>
      </c>
      <c r="D8" s="7" t="s">
        <v>153</v>
      </c>
      <c r="E8" s="7" t="s">
        <v>154</v>
      </c>
    </row>
    <row r="9" spans="1:5" ht="65.5" customHeight="1" x14ac:dyDescent="0.35">
      <c r="A9" s="7">
        <v>5</v>
      </c>
      <c r="B9" s="7" t="s">
        <v>109</v>
      </c>
      <c r="C9" s="7" t="s">
        <v>155</v>
      </c>
      <c r="D9" s="7" t="s">
        <v>156</v>
      </c>
      <c r="E9" s="7" t="s">
        <v>157</v>
      </c>
    </row>
    <row r="10" spans="1:5" ht="31" x14ac:dyDescent="0.35">
      <c r="A10" s="7">
        <v>6</v>
      </c>
      <c r="B10" s="7" t="s">
        <v>158</v>
      </c>
      <c r="C10" s="7" t="s">
        <v>159</v>
      </c>
      <c r="D10" s="7" t="s">
        <v>160</v>
      </c>
      <c r="E10" s="7" t="s">
        <v>161</v>
      </c>
    </row>
    <row r="11" spans="1:5" ht="31" x14ac:dyDescent="0.35">
      <c r="A11" s="7">
        <v>7</v>
      </c>
      <c r="B11" s="7" t="s">
        <v>162</v>
      </c>
      <c r="C11" s="7" t="s">
        <v>163</v>
      </c>
      <c r="D11" s="7" t="s">
        <v>164</v>
      </c>
      <c r="E11" s="7" t="s">
        <v>165</v>
      </c>
    </row>
    <row r="12" spans="1:5" ht="31" x14ac:dyDescent="0.35">
      <c r="A12" s="7">
        <v>8</v>
      </c>
      <c r="B12" s="7" t="s">
        <v>166</v>
      </c>
      <c r="C12" s="7" t="s">
        <v>167</v>
      </c>
      <c r="D12" s="7" t="s">
        <v>168</v>
      </c>
      <c r="E12" s="7" t="s">
        <v>169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0D91-7FFD-4F5F-B29A-6536FDFD864B}">
  <dimension ref="A1:G4"/>
  <sheetViews>
    <sheetView workbookViewId="0">
      <selection activeCell="D7" sqref="D7"/>
    </sheetView>
  </sheetViews>
  <sheetFormatPr defaultRowHeight="14.5" x14ac:dyDescent="0.35"/>
  <cols>
    <col min="1" max="1" width="9.81640625" customWidth="1"/>
    <col min="2" max="2" width="15.453125" customWidth="1"/>
    <col min="3" max="3" width="14.6328125" customWidth="1"/>
    <col min="4" max="4" width="22" customWidth="1"/>
    <col min="5" max="5" width="14.453125" customWidth="1"/>
    <col min="6" max="6" width="15.90625" customWidth="1"/>
    <col min="7" max="7" width="18.90625" customWidth="1"/>
  </cols>
  <sheetData>
    <row r="1" spans="1:7" ht="15.5" x14ac:dyDescent="0.35">
      <c r="A1" s="11" t="s">
        <v>179</v>
      </c>
    </row>
    <row r="2" spans="1:7" x14ac:dyDescent="0.35">
      <c r="D2" t="s">
        <v>180</v>
      </c>
    </row>
    <row r="3" spans="1:7" ht="46.5" x14ac:dyDescent="0.35">
      <c r="A3" s="6" t="s">
        <v>8</v>
      </c>
      <c r="B3" s="6" t="s">
        <v>170</v>
      </c>
      <c r="C3" s="6" t="s">
        <v>171</v>
      </c>
      <c r="D3" s="6" t="s">
        <v>172</v>
      </c>
      <c r="E3" s="6" t="s">
        <v>173</v>
      </c>
      <c r="F3" s="6" t="s">
        <v>174</v>
      </c>
      <c r="G3" s="6" t="s">
        <v>101</v>
      </c>
    </row>
    <row r="4" spans="1:7" ht="49" customHeight="1" x14ac:dyDescent="0.35">
      <c r="A4" s="7">
        <v>1</v>
      </c>
      <c r="B4" s="8">
        <v>45901</v>
      </c>
      <c r="C4" s="7" t="s">
        <v>175</v>
      </c>
      <c r="D4" s="7" t="s">
        <v>176</v>
      </c>
      <c r="E4" s="7" t="s">
        <v>177</v>
      </c>
      <c r="F4" s="8">
        <v>45903</v>
      </c>
      <c r="G4" s="8">
        <v>46266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DPIA_Form</vt:lpstr>
      <vt:lpstr>Risk_Register</vt:lpstr>
      <vt:lpstr>Guidance_Notes</vt:lpstr>
      <vt:lpstr>Version_Log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2025-11-03T15:51:01Z</dcterms:created>
  <dcterms:modified xsi:type="dcterms:W3CDTF">2025-11-21T06:14:42Z</dcterms:modified>
</cp:coreProperties>
</file>